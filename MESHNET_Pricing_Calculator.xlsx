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Scenario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<sst xmlns="http://schemas.openxmlformats.org/spreadsheetml/2006/main" count="75" uniqueCount="70">
  <si>
    <t xml:space="preserve">MESHNET pricing calculator</t>
  </si>
  <si>
    <t xml:space="preserve">Blue cells on yellow are inputs: edit these. Black cells are formulas. The values shown are EXAMPLES chosen by me, not real prices: replace them with your own. Use one currency throughout.</t>
  </si>
  <si>
    <t xml:space="preserve">Inputs</t>
  </si>
  <si>
    <t xml:space="preserve">Value</t>
  </si>
  <si>
    <t xml:space="preserve">Notes and assumptions</t>
  </si>
  <si>
    <t xml:space="preserve">Carrier price per GB (currency units)</t>
  </si>
  <si>
    <t xml:space="preserve">Example. Replace with what gateway owners really pay their carrier per GB.</t>
  </si>
  <si>
    <t xml:space="preserve">MB per GB</t>
  </si>
  <si>
    <t xml:space="preserve">Use 1000 if your carrier bills that way.</t>
  </si>
  <si>
    <t xml:space="preserve">Extra data used by the mesh on the gateway</t>
  </si>
  <si>
    <t xml:space="preserve">Assumption: encryption, headers and retransmissions add data. Measure this in the pilot.</t>
  </si>
  <si>
    <t xml:space="preserve">Target gateway profit over its data cost</t>
  </si>
  <si>
    <t xml:space="preserve">Your choice: how much the gateway should earn above its own data cost.</t>
  </si>
  <si>
    <t xml:space="preserve">Price of ONE credit (currency units)</t>
  </si>
  <si>
    <t xml:space="preserve">You set this: what a user pays to buy one credit.</t>
  </si>
  <si>
    <t xml:space="preserve">Price per MB charged to the receiver (credits)</t>
  </si>
  <si>
    <t xml:space="preserve">You set this. Example value.</t>
  </si>
  <si>
    <t xml:space="preserve">Gateway share of each payment</t>
  </si>
  <si>
    <t xml:space="preserve">Example split from the project (50/40/10).</t>
  </si>
  <si>
    <t xml:space="preserve">Relays share (total, split among hops)</t>
  </si>
  <si>
    <t xml:space="preserve">Example split from the project.</t>
  </si>
  <si>
    <t xml:space="preserve">Platform share (the remainder)</t>
  </si>
  <si>
    <t xml:space="preserve">Formula: 100% minus gateway and relays.</t>
  </si>
  <si>
    <t xml:space="preserve">Relay hops on a typical path</t>
  </si>
  <si>
    <t xml:space="preserve">Example. The pilot will show the real average.</t>
  </si>
  <si>
    <t xml:space="preserve">Results (per MB)</t>
  </si>
  <si>
    <t xml:space="preserve">How it is worked out</t>
  </si>
  <si>
    <t xml:space="preserve">Gateway's carrier data cost per user MB</t>
  </si>
  <si>
    <t xml:space="preserve">Carrier price per MB, plus the mesh overhead.</t>
  </si>
  <si>
    <t xml:space="preserve">Receiver pays per MB (currency)</t>
  </si>
  <si>
    <t xml:space="preserve">Credit price x credits per MB.</t>
  </si>
  <si>
    <t xml:space="preserve">Gateway earns per MB</t>
  </si>
  <si>
    <t xml:space="preserve">Receiver payment x gateway share.</t>
  </si>
  <si>
    <t xml:space="preserve">Gateway profit per MB</t>
  </si>
  <si>
    <t xml:space="preserve">Earnings minus its data cost. Negative means the gateway loses money.</t>
  </si>
  <si>
    <t xml:space="preserve">Gateway profit over its data cost</t>
  </si>
  <si>
    <t xml:space="preserve">Compare with the target above.</t>
  </si>
  <si>
    <t xml:space="preserve">Each relay earns per MB</t>
  </si>
  <si>
    <t xml:space="preserve">Relay pool divided by the number of hops.</t>
  </si>
  <si>
    <t xml:space="preserve">Platform earns per MB</t>
  </si>
  <si>
    <t xml:space="preserve">Receiver payment x platform share.</t>
  </si>
  <si>
    <t xml:space="preserve">Receiver pays per GB (currency)</t>
  </si>
  <si>
    <t xml:space="preserve">What a heavy user would see.</t>
  </si>
  <si>
    <t xml:space="preserve">Compared with a direct carrier GB</t>
  </si>
  <si>
    <t xml:space="preserve">How many times more than the carrier price. A large number may put users off.</t>
  </si>
  <si>
    <t xml:space="preserve">Checks</t>
  </si>
  <si>
    <t xml:space="preserve">What it tells you</t>
  </si>
  <si>
    <t xml:space="preserve">Lowest price per MB (credits) that meets the target</t>
  </si>
  <si>
    <t xml:space="preserve">At your credit price and gateway share.</t>
  </si>
  <si>
    <t xml:space="preserve">Lowest gateway share that meets the target</t>
  </si>
  <si>
    <t xml:space="preserve">At your current price per MB.</t>
  </si>
  <si>
    <t xml:space="preserve">Gateway verdict</t>
  </si>
  <si>
    <t xml:space="preserve">Split check</t>
  </si>
  <si>
    <t xml:space="preserve">Compare prices per MB</t>
  </si>
  <si>
    <t xml:space="preserve">Change the blue credits-per-MB values in column A. Everything else uses the inputs on the Calculator sheet.</t>
  </si>
  <si>
    <t xml:space="preserve">Price per MB (credits)</t>
  </si>
  <si>
    <t xml:space="preserve">Receiver pays per MB</t>
  </si>
  <si>
    <t xml:space="preserve">Gateway profit over cost</t>
  </si>
  <si>
    <t xml:space="preserve">Receiver pays per GB</t>
  </si>
  <si>
    <t xml:space="preserve">x direct carrier GB</t>
  </si>
  <si>
    <t xml:space="preserve">Gateway status</t>
  </si>
  <si>
    <t xml:space="preserve">Read before relying on the numbers.</t>
  </si>
  <si>
    <t xml:space="preserve">1. All numbers on the Calculator sheet are placeholders chosen by me for illustration. None are real market prices.</t>
  </si>
  <si>
    <t xml:space="preserve">2. You, as the operator, set two separate prices: what one credit costs a user in real currency, and how many credits one MB costs. The receiver pays their product.</t>
  </si>
  <si>
    <t xml:space="preserve">3. The gateway's data cost uses its carrier price per GB. The mesh adds overhead (assumed 10%), so the gateway uses more data than the user sees.</t>
  </si>
  <si>
    <t xml:space="preserve">4. Relays and hops are paid from the relay share only. Their real cost is battery, which this sheet does not price: check relays earn enough to be willing.</t>
  </si>
  <si>
    <t xml:space="preserve">5. The receiver compares MESHNET with their own carrier price per GB. Check the "x direct carrier GB" figure is acceptable for people with a weak signal.</t>
  </si>
  <si>
    <t xml:space="preserve">6. Fees from payment providers, taxes and refunds are not included.</t>
  </si>
  <si>
    <t xml:space="preserve">7. If credits can be turned back into cash, payment or e-money rules may apply where you operate. Get legal advice before launching real payments.</t>
  </si>
  <si>
    <t xml:space="preserve">8. Some carriers restrict sharing or reselling data. Check the terms that gateway owners are bound by.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</si>
</sst>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0.0%"/>
    <numFmt numFmtId="168" formatCode="0"/>
    <numFmt numFmtId="169" formatCode="#,##0.000"/>
    <numFmt numFmtId="170" formatCode="#,##0.000;[RED]\-#,##0.000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7A75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7085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7A75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4"/>
      </left>
      <right style="thin">
        <color rgb="FFD9DEE4"/>
      </right>
      <top style="thin">
        <color rgb="FFD9DEE4"/>
      </top>
      <bottom style="thin">
        <color rgb="FFD9DE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7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4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0</v>
      </c>
    </row>
    <row r="2" customFormat="false" ht="37.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1000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1024</v>
      </c>
      <c r="C6" s="6" t="s">
        <v>8</v>
      </c>
    </row>
    <row r="7" customFormat="false" ht="22.35" hidden="false" customHeight="false" outlineLevel="0" collapsed="false">
      <c r="A7" s="4" t="s">
        <v>9</v>
      </c>
      <c r="B7" s="8" t="n">
        <v>0.1</v>
      </c>
      <c r="C7" s="6" t="s">
        <v>10</v>
      </c>
    </row>
    <row r="8" customFormat="false" ht="15" hidden="false" customHeight="false" outlineLevel="0" collapsed="false">
      <c r="A8" s="4" t="s">
        <v>11</v>
      </c>
      <c r="B8" s="8" t="n">
        <v>0.3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1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3</v>
      </c>
      <c r="C10" s="6" t="s">
        <v>16</v>
      </c>
    </row>
    <row r="11" customFormat="false" ht="15" hidden="false" customHeight="false" outlineLevel="0" collapsed="false">
      <c r="A11" s="4" t="s">
        <v>17</v>
      </c>
      <c r="B11" s="8" t="n">
        <v>0.5</v>
      </c>
      <c r="C11" s="6" t="s">
        <v>18</v>
      </c>
    </row>
    <row r="12" customFormat="false" ht="15" hidden="false" customHeight="false" outlineLevel="0" collapsed="false">
      <c r="A12" s="4" t="s">
        <v>19</v>
      </c>
      <c r="B12" s="8" t="n">
        <v>0.4</v>
      </c>
      <c r="C12" s="6" t="s">
        <v>20</v>
      </c>
    </row>
    <row r="13" customFormat="false" ht="15" hidden="false" customHeight="false" outlineLevel="0" collapsed="false">
      <c r="A13" s="4" t="s">
        <v>21</v>
      </c>
      <c r="B13" s="9" t="n">
        <f aca="false">1-B11-B12</f>
        <v>0.1</v>
      </c>
      <c r="C13" s="6" t="s">
        <v>22</v>
      </c>
    </row>
    <row r="14" customFormat="false" ht="15" hidden="false" customHeight="false" outlineLevel="0" collapsed="false">
      <c r="A14" s="4" t="s">
        <v>23</v>
      </c>
      <c r="B14" s="10" t="n">
        <v>2</v>
      </c>
      <c r="C14" s="6" t="s">
        <v>24</v>
      </c>
    </row>
    <row r="16" customFormat="false" ht="15" hidden="false" customHeight="false" outlineLevel="0" collapsed="false">
      <c r="A16" s="3" t="s">
        <v>25</v>
      </c>
      <c r="B16" s="3" t="s">
        <v>3</v>
      </c>
      <c r="C16" s="3" t="s">
        <v>26</v>
      </c>
    </row>
    <row r="17" customFormat="false" ht="15" hidden="false" customHeight="false" outlineLevel="0" collapsed="false">
      <c r="A17" s="4" t="s">
        <v>27</v>
      </c>
      <c r="B17" s="11" t="n">
        <f aca="false">B5/B6*(1+B7)</f>
        <v>1.07421875</v>
      </c>
      <c r="C17" s="6" t="s">
        <v>28</v>
      </c>
    </row>
    <row r="18" customFormat="false" ht="15" hidden="false" customHeight="false" outlineLevel="0" collapsed="false">
      <c r="A18" s="4" t="s">
        <v>29</v>
      </c>
      <c r="B18" s="11" t="n">
        <f aca="false">B9*B10</f>
        <v>3</v>
      </c>
      <c r="C18" s="6" t="s">
        <v>30</v>
      </c>
    </row>
    <row r="19" customFormat="false" ht="15" hidden="false" customHeight="false" outlineLevel="0" collapsed="false">
      <c r="A19" s="4" t="s">
        <v>31</v>
      </c>
      <c r="B19" s="11" t="n">
        <f aca="false">B18*B11</f>
        <v>1.5</v>
      </c>
      <c r="C19" s="6" t="s">
        <v>32</v>
      </c>
    </row>
    <row r="20" customFormat="false" ht="15" hidden="false" customHeight="false" outlineLevel="0" collapsed="false">
      <c r="A20" s="4" t="s">
        <v>33</v>
      </c>
      <c r="B20" s="12" t="n">
        <f aca="false">B19-B17</f>
        <v>0.42578125</v>
      </c>
      <c r="C20" s="6" t="s">
        <v>34</v>
      </c>
    </row>
    <row r="21" customFormat="false" ht="15" hidden="false" customHeight="false" outlineLevel="0" collapsed="false">
      <c r="A21" s="4" t="s">
        <v>35</v>
      </c>
      <c r="B21" s="9" t="n">
        <f aca="false">IF(B17&gt;0,B20/B17,0)</f>
        <v>0.396363636363636</v>
      </c>
      <c r="C21" s="6" t="s">
        <v>36</v>
      </c>
    </row>
    <row r="22" customFormat="false" ht="15" hidden="false" customHeight="false" outlineLevel="0" collapsed="false">
      <c r="A22" s="4" t="s">
        <v>37</v>
      </c>
      <c r="B22" s="11" t="n">
        <f aca="false">IF(B14&gt;0,B18*B12/B14,0)</f>
        <v>0.6</v>
      </c>
      <c r="C22" s="6" t="s">
        <v>38</v>
      </c>
    </row>
    <row r="23" customFormat="false" ht="15" hidden="false" customHeight="false" outlineLevel="0" collapsed="false">
      <c r="A23" s="4" t="s">
        <v>39</v>
      </c>
      <c r="B23" s="11" t="n">
        <f aca="false">B18*B13</f>
        <v>0.3</v>
      </c>
      <c r="C23" s="6" t="s">
        <v>40</v>
      </c>
    </row>
    <row r="24" customFormat="false" ht="15" hidden="false" customHeight="false" outlineLevel="0" collapsed="false">
      <c r="A24" s="4" t="s">
        <v>41</v>
      </c>
      <c r="B24" s="13" t="n">
        <f aca="false">B18*B6</f>
        <v>3072</v>
      </c>
      <c r="C24" s="6" t="s">
        <v>42</v>
      </c>
    </row>
    <row r="25" customFormat="false" ht="15" hidden="false" customHeight="false" outlineLevel="0" collapsed="false">
      <c r="A25" s="4" t="s">
        <v>43</v>
      </c>
      <c r="B25" s="14" t="n">
        <f aca="false">IF(B5&gt;0,B24/B5,0)</f>
        <v>3.072</v>
      </c>
      <c r="C25" s="6" t="s">
        <v>44</v>
      </c>
    </row>
    <row r="27" customFormat="false" ht="15" hidden="false" customHeight="false" outlineLevel="0" collapsed="false">
      <c r="A27" s="3" t="s">
        <v>45</v>
      </c>
      <c r="B27" s="3" t="s">
        <v>3</v>
      </c>
      <c r="C27" s="3" t="s">
        <v>46</v>
      </c>
    </row>
    <row r="28" customFormat="false" ht="15" hidden="false" customHeight="false" outlineLevel="0" collapsed="false">
      <c r="A28" s="15" t="s">
        <v>47</v>
      </c>
      <c r="B28" s="16" t="n">
        <f aca="false">IF(AND(B9&gt;0,B11&gt;0),B17*(1+B8)/B11/B9,0)</f>
        <v>2.79296875</v>
      </c>
      <c r="C28" s="6" t="s">
        <v>48</v>
      </c>
    </row>
    <row r="29" customFormat="false" ht="15" hidden="false" customHeight="false" outlineLevel="0" collapsed="false">
      <c r="A29" s="15" t="s">
        <v>49</v>
      </c>
      <c r="B29" s="17" t="n">
        <f aca="false">IF(B18&gt;0,B17*(1+B8)/B18,0)</f>
        <v>0.465494791666667</v>
      </c>
      <c r="C29" s="6" t="s">
        <v>50</v>
      </c>
    </row>
    <row r="30" customFormat="false" ht="15" hidden="false" customHeight="false" outlineLevel="0" collapsed="false">
      <c r="A30" s="15" t="s">
        <v>51</v>
      </c>
      <c r="B30" s="18" t="str">
        <f aca="false">IF(B21&gt;=B8,"Gateway meets the target","Gateway is below target: raise the price or its share")</f>
        <v>Gateway meets the target</v>
      </c>
      <c r="C30" s="6"/>
    </row>
    <row r="31" customFormat="false" ht="15" hidden="false" customHeight="false" outlineLevel="0" collapsed="false">
      <c r="A31" s="15" t="s">
        <v>52</v>
      </c>
      <c r="B31" s="18" t="str">
        <f aca="false">IF(B13&gt;=0,"Shares add up correctly","Shares add up to more than 100%: lower them")</f>
        <v>Shares add up correctly</v>
      </c>
      <c r="C31" s="6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5" min="3" style="0" width="20"/>
    <col collapsed="false" customWidth="true" hidden="false" outlineLevel="0" max="6" min="6" style="0" width="18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53</v>
      </c>
    </row>
    <row r="2" customFormat="false" ht="25.5" hidden="false" customHeight="tru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55</v>
      </c>
      <c r="B4" s="3" t="s">
        <v>56</v>
      </c>
      <c r="C4" s="3" t="s">
        <v>33</v>
      </c>
      <c r="D4" s="3" t="s">
        <v>57</v>
      </c>
      <c r="E4" s="3" t="s">
        <v>37</v>
      </c>
      <c r="F4" s="3" t="s">
        <v>58</v>
      </c>
      <c r="G4" s="3" t="s">
        <v>59</v>
      </c>
      <c r="H4" s="3" t="s">
        <v>60</v>
      </c>
    </row>
    <row r="5" customFormat="false" ht="15" hidden="false" customHeight="false" outlineLevel="0" collapsed="false">
      <c r="A5" s="19" t="n">
        <v>1</v>
      </c>
      <c r="B5" s="20" t="n">
        <f aca="false">Calculator!$B$9*A5</f>
        <v>1</v>
      </c>
      <c r="C5" s="21" t="n">
        <f aca="false">B5*Calculator!$B$11-Calculator!$B$17</f>
        <v>-0.57421875</v>
      </c>
      <c r="D5" s="22" t="n">
        <f aca="false">IF(Calculator!$B$17&gt;0,C5/Calculator!$B$17,0)</f>
        <v>-0.534545454545455</v>
      </c>
      <c r="E5" s="20" t="n">
        <f aca="false">IF(Calculator!$B$14&gt;0,B5*Calculator!$B$12/Calculator!$B$14,0)</f>
        <v>0.2</v>
      </c>
      <c r="F5" s="23" t="n">
        <f aca="false">B5*Calculator!$B$6</f>
        <v>1024</v>
      </c>
      <c r="G5" s="24" t="n">
        <f aca="false">IF(Calculator!$B$5&gt;0,F5/Calculator!$B$5,0)</f>
        <v>1.024</v>
      </c>
      <c r="H5" s="25" t="str">
        <f aca="false">IF(D5&gt;=Calculator!$B$8,"Meets target","Below target")</f>
        <v>Below target</v>
      </c>
    </row>
    <row r="6" customFormat="false" ht="15" hidden="false" customHeight="false" outlineLevel="0" collapsed="false">
      <c r="A6" s="19" t="n">
        <v>2</v>
      </c>
      <c r="B6" s="20" t="n">
        <f aca="false">Calculator!$B$9*A6</f>
        <v>2</v>
      </c>
      <c r="C6" s="21" t="n">
        <f aca="false">B6*Calculator!$B$11-Calculator!$B$17</f>
        <v>-0.07421875</v>
      </c>
      <c r="D6" s="22" t="n">
        <f aca="false">IF(Calculator!$B$17&gt;0,C6/Calculator!$B$17,0)</f>
        <v>-0.0690909090909091</v>
      </c>
      <c r="E6" s="20" t="n">
        <f aca="false">IF(Calculator!$B$14&gt;0,B6*Calculator!$B$12/Calculator!$B$14,0)</f>
        <v>0.4</v>
      </c>
      <c r="F6" s="23" t="n">
        <f aca="false">B6*Calculator!$B$6</f>
        <v>2048</v>
      </c>
      <c r="G6" s="24" t="n">
        <f aca="false">IF(Calculator!$B$5&gt;0,F6/Calculator!$B$5,0)</f>
        <v>2.048</v>
      </c>
      <c r="H6" s="25" t="str">
        <f aca="false">IF(D6&gt;=Calculator!$B$8,"Meets target","Below target")</f>
        <v>Below target</v>
      </c>
    </row>
    <row r="7" customFormat="false" ht="15" hidden="false" customHeight="false" outlineLevel="0" collapsed="false">
      <c r="A7" s="19" t="n">
        <v>3</v>
      </c>
      <c r="B7" s="20" t="n">
        <f aca="false">Calculator!$B$9*A7</f>
        <v>3</v>
      </c>
      <c r="C7" s="21" t="n">
        <f aca="false">B7*Calculator!$B$11-Calculator!$B$17</f>
        <v>0.42578125</v>
      </c>
      <c r="D7" s="22" t="n">
        <f aca="false">IF(Calculator!$B$17&gt;0,C7/Calculator!$B$17,0)</f>
        <v>0.396363636363636</v>
      </c>
      <c r="E7" s="20" t="n">
        <f aca="false">IF(Calculator!$B$14&gt;0,B7*Calculator!$B$12/Calculator!$B$14,0)</f>
        <v>0.6</v>
      </c>
      <c r="F7" s="23" t="n">
        <f aca="false">B7*Calculator!$B$6</f>
        <v>3072</v>
      </c>
      <c r="G7" s="24" t="n">
        <f aca="false">IF(Calculator!$B$5&gt;0,F7/Calculator!$B$5,0)</f>
        <v>3.072</v>
      </c>
      <c r="H7" s="25" t="str">
        <f aca="false">IF(D7&gt;=Calculator!$B$8,"Meets target","Below target")</f>
        <v>Meets target</v>
      </c>
    </row>
    <row r="8" customFormat="false" ht="15" hidden="false" customHeight="false" outlineLevel="0" collapsed="false">
      <c r="A8" s="19" t="n">
        <v>4</v>
      </c>
      <c r="B8" s="20" t="n">
        <f aca="false">Calculator!$B$9*A8</f>
        <v>4</v>
      </c>
      <c r="C8" s="21" t="n">
        <f aca="false">B8*Calculator!$B$11-Calculator!$B$17</f>
        <v>0.92578125</v>
      </c>
      <c r="D8" s="22" t="n">
        <f aca="false">IF(Calculator!$B$17&gt;0,C8/Calculator!$B$17,0)</f>
        <v>0.861818181818182</v>
      </c>
      <c r="E8" s="20" t="n">
        <f aca="false">IF(Calculator!$B$14&gt;0,B8*Calculator!$B$12/Calculator!$B$14,0)</f>
        <v>0.8</v>
      </c>
      <c r="F8" s="23" t="n">
        <f aca="false">B8*Calculator!$B$6</f>
        <v>4096</v>
      </c>
      <c r="G8" s="24" t="n">
        <f aca="false">IF(Calculator!$B$5&gt;0,F8/Calculator!$B$5,0)</f>
        <v>4.096</v>
      </c>
      <c r="H8" s="25" t="str">
        <f aca="false">IF(D8&gt;=Calculator!$B$8,"Meets target","Below target")</f>
        <v>Meets target</v>
      </c>
    </row>
    <row r="9" customFormat="false" ht="15" hidden="false" customHeight="false" outlineLevel="0" collapsed="false">
      <c r="A9" s="19" t="n">
        <v>5</v>
      </c>
      <c r="B9" s="20" t="n">
        <f aca="false">Calculator!$B$9*A9</f>
        <v>5</v>
      </c>
      <c r="C9" s="21" t="n">
        <f aca="false">B9*Calculator!$B$11-Calculator!$B$17</f>
        <v>1.42578125</v>
      </c>
      <c r="D9" s="22" t="n">
        <f aca="false">IF(Calculator!$B$17&gt;0,C9/Calculator!$B$17,0)</f>
        <v>1.32727272727273</v>
      </c>
      <c r="E9" s="20" t="n">
        <f aca="false">IF(Calculator!$B$14&gt;0,B9*Calculator!$B$12/Calculator!$B$14,0)</f>
        <v>1</v>
      </c>
      <c r="F9" s="23" t="n">
        <f aca="false">B9*Calculator!$B$6</f>
        <v>5120</v>
      </c>
      <c r="G9" s="24" t="n">
        <f aca="false">IF(Calculator!$B$5&gt;0,F9/Calculator!$B$5,0)</f>
        <v>5.12</v>
      </c>
      <c r="H9" s="25" t="str">
        <f aca="false">IF(D9&gt;=Calculator!$B$8,"Meets target","Below target")</f>
        <v>Meets target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4</v>
      </c>
    </row>
    <row r="2" customFormat="false" ht="15" hidden="false" customHeight="false" outlineLevel="0" collapsed="false">
      <c r="A2" s="26" t="s">
        <v>61</v>
      </c>
    </row>
    <row r="4" customFormat="false" ht="30" hidden="false" customHeight="true" outlineLevel="0" collapsed="false">
      <c r="A4" s="27" t="s">
        <v>62</v>
      </c>
    </row>
    <row r="5" customFormat="false" ht="30" hidden="false" customHeight="true" outlineLevel="0" collapsed="false">
      <c r="A5" s="27" t="s">
        <v>63</v>
      </c>
    </row>
    <row r="6" customFormat="false" ht="30" hidden="false" customHeight="true" outlineLevel="0" collapsed="false">
      <c r="A6" s="27" t="s">
        <v>64</v>
      </c>
    </row>
    <row r="7" customFormat="false" ht="30" hidden="false" customHeight="true" outlineLevel="0" collapsed="false">
      <c r="A7" s="27" t="s">
        <v>65</v>
      </c>
    </row>
    <row r="8" customFormat="false" ht="30" hidden="false" customHeight="true" outlineLevel="0" collapsed="false">
      <c r="A8" s="27" t="s">
        <v>66</v>
      </c>
    </row>
    <row r="9" customFormat="false" ht="30" hidden="false" customHeight="true" outlineLevel="0" collapsed="false">
      <c r="A9" s="27" t="s">
        <v>67</v>
      </c>
    </row>
    <row r="10" customFormat="false" ht="30" hidden="false" customHeight="true" outlineLevel="0" collapsed="false">
      <c r="A10" s="27" t="s">
        <v>68</v>
      </c>
    </row>
    <row r="11" customFormat="false" ht="30" hidden="false" customHeight="true" outlineLevel="0" collapsed="false">
      <c r="A11" s="2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2026-10-05T09:27:36Z</dcterms:created>
  <dc:creator>openpyxl</dc:creator>
  <dc:description/>
  <dc:language>en-US</dc:language>
  <cp:lastModifiedBy/>
  <dcterms:modified xsi:type="dcterms:W3CDTF">2026-10-05T09:27:36Z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